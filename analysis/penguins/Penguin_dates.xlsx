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gne/Documents/Source/beast2.7/sRanges-material/penguins/"/>
    </mc:Choice>
  </mc:AlternateContent>
  <xr:revisionPtr revIDLastSave="0" documentId="13_ncr:1_{A3D1CFD6-C786-9C4E-A0DD-A24133DF0BC5}" xr6:coauthVersionLast="47" xr6:coauthVersionMax="47" xr10:uidLastSave="{00000000-0000-0000-0000-000000000000}"/>
  <bookViews>
    <workbookView xWindow="0" yWindow="500" windowWidth="28800" windowHeight="15800" xr2:uid="{BB307321-DE6F-6D43-B543-1D0BF07AF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8" i="1" l="1"/>
  <c r="J69" i="1"/>
  <c r="J57" i="1"/>
  <c r="J59" i="1"/>
  <c r="J60" i="1"/>
  <c r="J61" i="1"/>
  <c r="J62" i="1"/>
  <c r="J63" i="1"/>
  <c r="J64" i="1"/>
  <c r="J65" i="1"/>
  <c r="J66" i="1"/>
  <c r="J67" i="1"/>
  <c r="J68" i="1"/>
  <c r="J70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  <c r="J4" i="1"/>
  <c r="J5" i="1"/>
  <c r="J6" i="1"/>
  <c r="J7" i="1"/>
  <c r="J8" i="1"/>
  <c r="J9" i="1"/>
  <c r="J10" i="1"/>
  <c r="J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</calcChain>
</file>

<file path=xl/sharedStrings.xml><?xml version="1.0" encoding="utf-8"?>
<sst xmlns="http://schemas.openxmlformats.org/spreadsheetml/2006/main" count="449" uniqueCount="128">
  <si>
    <t>Tip name</t>
  </si>
  <si>
    <t>Country</t>
  </si>
  <si>
    <t>Formation</t>
  </si>
  <si>
    <t>Oldest Age</t>
  </si>
  <si>
    <t>Youngest Age</t>
  </si>
  <si>
    <t>Oldest Interval</t>
  </si>
  <si>
    <t>Youngest Interval</t>
  </si>
  <si>
    <t>Anthropornis_grandis</t>
  </si>
  <si>
    <t>Anthropornis_nordenskjoeldi</t>
  </si>
  <si>
    <t>Archaeospheniscus_lopdelli</t>
  </si>
  <si>
    <t>Archaeospheniscus_lowei</t>
  </si>
  <si>
    <t>Burnside_Palaeeudyptes</t>
  </si>
  <si>
    <t>Notes</t>
  </si>
  <si>
    <t>Delphinornis_arctowskii</t>
  </si>
  <si>
    <t>Delphinornis_gracilis</t>
  </si>
  <si>
    <t>Delphinornis_larseni</t>
  </si>
  <si>
    <t>Delphinornis_wimani</t>
  </si>
  <si>
    <t>Duntroonornis_parvus</t>
  </si>
  <si>
    <t>Eretiscus_tonnii</t>
  </si>
  <si>
    <t>Icadyptes_salasi</t>
  </si>
  <si>
    <t>Inkayacu_paracasensis</t>
  </si>
  <si>
    <t>Kairuku_grebneffi</t>
  </si>
  <si>
    <t>Kairuku_waitaki</t>
  </si>
  <si>
    <t>Marambiornis_exilis</t>
  </si>
  <si>
    <t>Marplesornis_novaezealandiae</t>
  </si>
  <si>
    <t>Mesetaornis_polaris</t>
  </si>
  <si>
    <t>Pachydyptes_ponderosus</t>
  </si>
  <si>
    <t>Palaeeudyptes_antarcticus</t>
  </si>
  <si>
    <t>Palaeeudyptes_gunnari</t>
  </si>
  <si>
    <t>Palaeeudyptes_klekowski</t>
  </si>
  <si>
    <t>Palaeospheniscus_biloculata</t>
  </si>
  <si>
    <t>Palaeospheniscus_patagonicus</t>
  </si>
  <si>
    <t>Paraptenodytes_antarcticus</t>
  </si>
  <si>
    <t>Perudyptes_devriesi</t>
  </si>
  <si>
    <t>Platydyptes_novazealandiae</t>
  </si>
  <si>
    <t>Platydyptes_marplesi</t>
  </si>
  <si>
    <t>Pygoscelis_grandis</t>
  </si>
  <si>
    <t>Spheniscus_megaramphus</t>
  </si>
  <si>
    <t>Spheniscus_muizoni</t>
  </si>
  <si>
    <t>Spheniscus_urbinai</t>
  </si>
  <si>
    <t>Waimanu_manneringi</t>
  </si>
  <si>
    <t>Waimanu_tuatahi</t>
  </si>
  <si>
    <t>Eudyptula_minor</t>
  </si>
  <si>
    <t>Spheniscus_humboldti</t>
  </si>
  <si>
    <t>Spheniscus_demersus</t>
  </si>
  <si>
    <t>Megadyptes_antipodes</t>
  </si>
  <si>
    <t>Eudyptes_pachyrhynchus</t>
  </si>
  <si>
    <t>Antarctica</t>
  </si>
  <si>
    <t>La Meseta, Submeseta II</t>
  </si>
  <si>
    <t>New Zealand</t>
  </si>
  <si>
    <t>Kokoamu Greensand</t>
  </si>
  <si>
    <t>"Duntroonian"</t>
  </si>
  <si>
    <t>PBDB age</t>
  </si>
  <si>
    <t>La Meseta, TELM 7</t>
  </si>
  <si>
    <t>La Meseta, TELM 5</t>
  </si>
  <si>
    <t>La Meseta, TELM 4</t>
  </si>
  <si>
    <t>Argentina</t>
  </si>
  <si>
    <t>Gaiman, Lower</t>
  </si>
  <si>
    <t>Patagonia</t>
  </si>
  <si>
    <t>Aquitanian</t>
  </si>
  <si>
    <t>Peru</t>
  </si>
  <si>
    <t>Otuma</t>
  </si>
  <si>
    <t>Priabonian</t>
  </si>
  <si>
    <t>Madrynornis_mirandus</t>
  </si>
  <si>
    <t>Puerto Madryn</t>
  </si>
  <si>
    <t>Tortonian</t>
  </si>
  <si>
    <t>Ototara Limestone</t>
  </si>
  <si>
    <t>"Runangan"</t>
  </si>
  <si>
    <t>Oamaru Diatomite</t>
  </si>
  <si>
    <t>Burnside</t>
  </si>
  <si>
    <t>"Kaiatan"</t>
  </si>
  <si>
    <t>"Whaingaroan"</t>
  </si>
  <si>
    <t>Concord</t>
  </si>
  <si>
    <t>"Waitakian"</t>
  </si>
  <si>
    <t>La Meseta, TELM 3</t>
  </si>
  <si>
    <t>Leticia</t>
  </si>
  <si>
    <t>Bartonian</t>
  </si>
  <si>
    <t>early Burdigalian</t>
  </si>
  <si>
    <t>Ages from Marx &amp; Fordyce (2015)</t>
  </si>
  <si>
    <t>Santa Cruz</t>
  </si>
  <si>
    <t>Santacrucian</t>
  </si>
  <si>
    <t>Paracas</t>
  </si>
  <si>
    <t>Lutetian</t>
  </si>
  <si>
    <t>Chile</t>
  </si>
  <si>
    <t>Bahía Inglesia, Lechero</t>
  </si>
  <si>
    <t>Zanclean</t>
  </si>
  <si>
    <t>Pisco</t>
  </si>
  <si>
    <t>Messinian</t>
  </si>
  <si>
    <t>Bahía Inglesia</t>
  </si>
  <si>
    <t>Upper Miocene</t>
  </si>
  <si>
    <t>Serravallian</t>
  </si>
  <si>
    <t>Waipara Greensand</t>
  </si>
  <si>
    <t>"Selandian"</t>
  </si>
  <si>
    <t>Ages from Slack et al. (2006)</t>
  </si>
  <si>
    <t>Now Muriwaimanu tuatahi</t>
  </si>
  <si>
    <t>Lower Paleocene</t>
  </si>
  <si>
    <t>Upper Paleocene</t>
  </si>
  <si>
    <t>Hillgrove</t>
  </si>
  <si>
    <t>Upper Pleistocene</t>
  </si>
  <si>
    <t>South Africa</t>
  </si>
  <si>
    <t>Middle Pleistocene</t>
  </si>
  <si>
    <t>Extant?</t>
  </si>
  <si>
    <t>N</t>
  </si>
  <si>
    <t>Y</t>
  </si>
  <si>
    <t>Age from Clarke et al. (2007)</t>
  </si>
  <si>
    <t>Age from Hospitaleche et al. (2007)</t>
  </si>
  <si>
    <t>Palaeospheniscus_bergi</t>
  </si>
  <si>
    <t>Monte Leon</t>
  </si>
  <si>
    <t>Lower Miocene</t>
  </si>
  <si>
    <t>Middle Miocene</t>
  </si>
  <si>
    <t>Age from Amenábar et al. (2019)</t>
  </si>
  <si>
    <t>Age from Amenábar et al. (2019); also Archaeospheniscus_wimani</t>
  </si>
  <si>
    <t>Age from Amenábar et al. (2019); possibly a nom. dub.</t>
  </si>
  <si>
    <t>Questionable?</t>
  </si>
  <si>
    <t>Age from Boessenecker &amp; Fordyce (2016)</t>
  </si>
  <si>
    <t>"late Waingaroan"</t>
  </si>
  <si>
    <t>"early Duntroonian"</t>
  </si>
  <si>
    <t>PBDB age; matches Higgs et al. (2020)</t>
  </si>
  <si>
    <t>PBDB age; matches Bland et al. (2022)</t>
  </si>
  <si>
    <t>Gelasian</t>
  </si>
  <si>
    <t>PBDB age for Greta Formation as a whole</t>
  </si>
  <si>
    <t>Age from Hospitaleche &amp; Olivero 2016</t>
  </si>
  <si>
    <t>Age from Parras et al. (2020)</t>
  </si>
  <si>
    <t>Age from Bianucci et al. (2006)</t>
  </si>
  <si>
    <t>From Supplement</t>
  </si>
  <si>
    <t>Age from Brand et al. (2011)</t>
  </si>
  <si>
    <t>Average Age</t>
  </si>
  <si>
    <t>Uncertain?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</si>
</sst>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B456-5F4A-C647-9212-F727BCCF29C5}">
  <dimension ref="A1:L70"/>
  <sheetViews>
    <sheetView tabSelected="1" topLeftCell="A44" zoomScale="130" zoomScaleNormal="130" workbookViewId="0">
      <selection activeCell="A60" sqref="A60:XFD60"/>
    </sheetView>
  </sheetViews>
  <sheetFormatPr baseColWidth="10" defaultRowHeight="16" x14ac:dyDescent="0.2"/>
  <cols>
    <col min="1" max="1" width="27.33203125" bestFit="1" customWidth="1"/>
    <col min="2" max="3" width="5" customWidth="1"/>
    <col min="4" max="4" width="12" bestFit="1" customWidth="1"/>
    <col min="5" max="5" width="19" customWidth="1"/>
    <col min="6" max="6" width="17" bestFit="1" customWidth="1"/>
    <col min="7" max="7" width="17.6640625" bestFit="1" customWidth="1"/>
    <col min="9" max="9" width="10" customWidth="1"/>
    <col min="10" max="10" width="9.6640625" customWidth="1"/>
    <col min="11" max="11" width="12.33203125" customWidth="1"/>
  </cols>
  <sheetData>
    <row r="1" spans="1:12" x14ac:dyDescent="0.2">
      <c r="A1" s="1" t="s">
        <v>0</v>
      </c>
      <c r="B1" s="1" t="s">
        <v>101</v>
      </c>
      <c r="C1" s="1" t="s">
        <v>113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3</v>
      </c>
      <c r="I1" s="1" t="s">
        <v>4</v>
      </c>
      <c r="J1" s="1" t="s">
        <v>126</v>
      </c>
      <c r="K1" s="1" t="s">
        <v>127</v>
      </c>
      <c r="L1" s="1" t="s">
        <v>12</v>
      </c>
    </row>
    <row r="2" spans="1:12" x14ac:dyDescent="0.2">
      <c r="A2" t="s">
        <v>7</v>
      </c>
      <c r="B2" t="s">
        <v>102</v>
      </c>
      <c r="D2" t="s">
        <v>47</v>
      </c>
      <c r="E2" t="s">
        <v>55</v>
      </c>
      <c r="F2" s="1"/>
      <c r="G2" s="1"/>
      <c r="H2">
        <v>41.5</v>
      </c>
      <c r="I2">
        <v>41</v>
      </c>
      <c r="J2">
        <f ca="1">RAND()*(H2-I2)+I2</f>
        <v>41.080839334608058</v>
      </c>
      <c r="K2" t="b">
        <f>H2-I2&gt;0.5</f>
        <v>0</v>
      </c>
      <c r="L2" t="s">
        <v>110</v>
      </c>
    </row>
    <row r="3" spans="1:12" x14ac:dyDescent="0.2">
      <c r="A3" t="s">
        <v>7</v>
      </c>
      <c r="B3" t="s">
        <v>102</v>
      </c>
      <c r="D3" t="s">
        <v>47</v>
      </c>
      <c r="E3" t="s">
        <v>54</v>
      </c>
      <c r="H3">
        <v>41</v>
      </c>
      <c r="I3">
        <v>39.5</v>
      </c>
      <c r="J3">
        <f t="shared" ref="J3:J66" ca="1" si="0">RAND()*(H3-I3)+I3</f>
        <v>39.831059869204147</v>
      </c>
      <c r="K3" t="b">
        <f t="shared" ref="K3:K66" si="1">H3-I3&gt;0.5</f>
        <v>1</v>
      </c>
      <c r="L3" t="s">
        <v>110</v>
      </c>
    </row>
    <row r="4" spans="1:12" x14ac:dyDescent="0.2">
      <c r="A4" t="s">
        <v>7</v>
      </c>
      <c r="B4" t="s">
        <v>102</v>
      </c>
      <c r="D4" t="s">
        <v>47</v>
      </c>
      <c r="E4" t="s">
        <v>53</v>
      </c>
      <c r="H4">
        <v>39.5</v>
      </c>
      <c r="I4">
        <v>34</v>
      </c>
      <c r="J4">
        <f t="shared" ca="1" si="0"/>
        <v>36.502903480773519</v>
      </c>
      <c r="K4" t="b">
        <f t="shared" si="1"/>
        <v>1</v>
      </c>
      <c r="L4" t="s">
        <v>110</v>
      </c>
    </row>
    <row r="5" spans="1:12" x14ac:dyDescent="0.2">
      <c r="A5" t="s">
        <v>8</v>
      </c>
      <c r="B5" t="s">
        <v>102</v>
      </c>
      <c r="D5" t="s">
        <v>47</v>
      </c>
      <c r="E5" t="s">
        <v>55</v>
      </c>
      <c r="H5">
        <v>41.5</v>
      </c>
      <c r="I5">
        <v>41</v>
      </c>
      <c r="J5">
        <f t="shared" ca="1" si="0"/>
        <v>41.207657157185395</v>
      </c>
      <c r="K5" t="b">
        <f t="shared" si="1"/>
        <v>0</v>
      </c>
      <c r="L5" t="s">
        <v>110</v>
      </c>
    </row>
    <row r="6" spans="1:12" x14ac:dyDescent="0.2">
      <c r="A6" t="s">
        <v>8</v>
      </c>
      <c r="B6" t="s">
        <v>102</v>
      </c>
      <c r="D6" t="s">
        <v>47</v>
      </c>
      <c r="E6" t="s">
        <v>53</v>
      </c>
      <c r="H6">
        <v>39.5</v>
      </c>
      <c r="I6">
        <v>34</v>
      </c>
      <c r="J6">
        <f t="shared" ca="1" si="0"/>
        <v>35.105941024531802</v>
      </c>
      <c r="K6" t="b">
        <f t="shared" si="1"/>
        <v>1</v>
      </c>
      <c r="L6" t="s">
        <v>110</v>
      </c>
    </row>
    <row r="7" spans="1:12" x14ac:dyDescent="0.2">
      <c r="A7" t="s">
        <v>9</v>
      </c>
      <c r="B7" t="s">
        <v>102</v>
      </c>
      <c r="D7" t="s">
        <v>49</v>
      </c>
      <c r="E7" t="s">
        <v>50</v>
      </c>
      <c r="F7" t="s">
        <v>51</v>
      </c>
      <c r="G7" t="s">
        <v>51</v>
      </c>
      <c r="H7">
        <v>27.3</v>
      </c>
      <c r="I7">
        <v>25.2</v>
      </c>
      <c r="J7">
        <f t="shared" ca="1" si="0"/>
        <v>26.601052537994338</v>
      </c>
      <c r="K7" t="b">
        <f t="shared" si="1"/>
        <v>1</v>
      </c>
      <c r="L7" t="s">
        <v>114</v>
      </c>
    </row>
    <row r="8" spans="1:12" x14ac:dyDescent="0.2">
      <c r="A8" t="s">
        <v>10</v>
      </c>
      <c r="B8" t="s">
        <v>102</v>
      </c>
      <c r="D8" t="s">
        <v>49</v>
      </c>
      <c r="E8" t="s">
        <v>50</v>
      </c>
      <c r="F8" t="s">
        <v>51</v>
      </c>
      <c r="G8" t="s">
        <v>51</v>
      </c>
      <c r="H8">
        <v>27.3</v>
      </c>
      <c r="I8">
        <v>25.2</v>
      </c>
      <c r="J8">
        <f t="shared" ca="1" si="0"/>
        <v>25.418086398279502</v>
      </c>
      <c r="K8" t="b">
        <f t="shared" si="1"/>
        <v>1</v>
      </c>
      <c r="L8" t="s">
        <v>114</v>
      </c>
    </row>
    <row r="9" spans="1:12" x14ac:dyDescent="0.2">
      <c r="A9" t="s">
        <v>11</v>
      </c>
      <c r="B9" t="s">
        <v>102</v>
      </c>
      <c r="D9" t="s">
        <v>49</v>
      </c>
      <c r="F9" t="s">
        <v>70</v>
      </c>
      <c r="G9" t="s">
        <v>70</v>
      </c>
      <c r="H9">
        <v>37.200000000000003</v>
      </c>
      <c r="I9">
        <v>36</v>
      </c>
      <c r="J9">
        <f t="shared" ca="1" si="0"/>
        <v>36.257218708265484</v>
      </c>
      <c r="K9" t="b">
        <f t="shared" si="1"/>
        <v>1</v>
      </c>
      <c r="L9" t="s">
        <v>117</v>
      </c>
    </row>
    <row r="10" spans="1:12" x14ac:dyDescent="0.2">
      <c r="A10" t="s">
        <v>13</v>
      </c>
      <c r="B10" t="s">
        <v>102</v>
      </c>
      <c r="D10" t="s">
        <v>47</v>
      </c>
      <c r="E10" t="s">
        <v>53</v>
      </c>
      <c r="H10">
        <v>39.5</v>
      </c>
      <c r="I10">
        <v>34</v>
      </c>
      <c r="J10">
        <f t="shared" ca="1" si="0"/>
        <v>34.946072279441353</v>
      </c>
      <c r="K10" t="b">
        <f t="shared" si="1"/>
        <v>1</v>
      </c>
      <c r="L10" t="s">
        <v>110</v>
      </c>
    </row>
    <row r="11" spans="1:12" x14ac:dyDescent="0.2">
      <c r="A11" t="s">
        <v>14</v>
      </c>
      <c r="B11" t="s">
        <v>102</v>
      </c>
      <c r="D11" t="s">
        <v>47</v>
      </c>
      <c r="E11" t="s">
        <v>53</v>
      </c>
      <c r="H11">
        <v>39.5</v>
      </c>
      <c r="I11">
        <v>34</v>
      </c>
      <c r="J11">
        <f t="shared" ca="1" si="0"/>
        <v>36.884730385074548</v>
      </c>
      <c r="K11" t="b">
        <f t="shared" si="1"/>
        <v>1</v>
      </c>
      <c r="L11" t="s">
        <v>112</v>
      </c>
    </row>
    <row r="12" spans="1:12" x14ac:dyDescent="0.2">
      <c r="A12" t="s">
        <v>15</v>
      </c>
      <c r="B12" t="s">
        <v>102</v>
      </c>
      <c r="D12" t="s">
        <v>47</v>
      </c>
      <c r="E12" t="s">
        <v>54</v>
      </c>
      <c r="H12">
        <v>41</v>
      </c>
      <c r="I12">
        <v>39.5</v>
      </c>
      <c r="J12">
        <f t="shared" ca="1" si="0"/>
        <v>39.9460795253868</v>
      </c>
      <c r="K12" t="b">
        <f t="shared" si="1"/>
        <v>1</v>
      </c>
      <c r="L12" t="s">
        <v>110</v>
      </c>
    </row>
    <row r="13" spans="1:12" x14ac:dyDescent="0.2">
      <c r="A13" t="s">
        <v>15</v>
      </c>
      <c r="B13" t="s">
        <v>102</v>
      </c>
      <c r="D13" t="s">
        <v>47</v>
      </c>
      <c r="E13" t="s">
        <v>53</v>
      </c>
      <c r="H13">
        <v>39.5</v>
      </c>
      <c r="I13">
        <v>34</v>
      </c>
      <c r="J13">
        <f t="shared" ca="1" si="0"/>
        <v>34.1799267597587</v>
      </c>
      <c r="K13" t="b">
        <f t="shared" si="1"/>
        <v>1</v>
      </c>
      <c r="L13" t="s">
        <v>110</v>
      </c>
    </row>
    <row r="14" spans="1:12" x14ac:dyDescent="0.2">
      <c r="A14" t="s">
        <v>16</v>
      </c>
      <c r="B14" t="s">
        <v>102</v>
      </c>
      <c r="C14" t="s">
        <v>103</v>
      </c>
      <c r="D14" t="s">
        <v>47</v>
      </c>
      <c r="E14" t="s">
        <v>55</v>
      </c>
      <c r="H14">
        <v>41.5</v>
      </c>
      <c r="I14">
        <v>41</v>
      </c>
      <c r="J14">
        <f t="shared" ca="1" si="0"/>
        <v>41.058136166884616</v>
      </c>
      <c r="K14" t="b">
        <f t="shared" si="1"/>
        <v>0</v>
      </c>
      <c r="L14" t="s">
        <v>111</v>
      </c>
    </row>
    <row r="15" spans="1:12" x14ac:dyDescent="0.2">
      <c r="A15" t="s">
        <v>16</v>
      </c>
      <c r="B15" t="s">
        <v>102</v>
      </c>
      <c r="D15" t="s">
        <v>47</v>
      </c>
      <c r="E15" t="s">
        <v>54</v>
      </c>
      <c r="H15">
        <v>41</v>
      </c>
      <c r="I15">
        <v>39.5</v>
      </c>
      <c r="J15">
        <f t="shared" ca="1" si="0"/>
        <v>39.83653589576862</v>
      </c>
      <c r="K15" t="b">
        <f t="shared" si="1"/>
        <v>1</v>
      </c>
      <c r="L15" t="s">
        <v>110</v>
      </c>
    </row>
    <row r="16" spans="1:12" x14ac:dyDescent="0.2">
      <c r="A16" t="s">
        <v>16</v>
      </c>
      <c r="B16" t="s">
        <v>102</v>
      </c>
      <c r="D16" t="s">
        <v>47</v>
      </c>
      <c r="E16" t="s">
        <v>53</v>
      </c>
      <c r="H16">
        <v>39.5</v>
      </c>
      <c r="I16">
        <v>34</v>
      </c>
      <c r="J16">
        <f t="shared" ca="1" si="0"/>
        <v>37.882851716165362</v>
      </c>
      <c r="K16" t="b">
        <f t="shared" si="1"/>
        <v>1</v>
      </c>
      <c r="L16" t="s">
        <v>110</v>
      </c>
    </row>
    <row r="17" spans="1:12" x14ac:dyDescent="0.2">
      <c r="A17" t="s">
        <v>17</v>
      </c>
      <c r="B17" t="s">
        <v>102</v>
      </c>
      <c r="D17" t="s">
        <v>49</v>
      </c>
      <c r="E17" t="s">
        <v>50</v>
      </c>
      <c r="F17" t="s">
        <v>51</v>
      </c>
      <c r="G17" t="s">
        <v>51</v>
      </c>
      <c r="H17">
        <v>27.3</v>
      </c>
      <c r="I17">
        <v>25.2</v>
      </c>
      <c r="J17">
        <f t="shared" ca="1" si="0"/>
        <v>27.052092736436062</v>
      </c>
      <c r="K17" t="b">
        <f t="shared" si="1"/>
        <v>1</v>
      </c>
      <c r="L17" t="s">
        <v>114</v>
      </c>
    </row>
    <row r="18" spans="1:12" x14ac:dyDescent="0.2">
      <c r="A18" t="s">
        <v>18</v>
      </c>
      <c r="B18" t="s">
        <v>102</v>
      </c>
      <c r="D18" t="s">
        <v>56</v>
      </c>
      <c r="E18" t="s">
        <v>57</v>
      </c>
      <c r="F18" t="s">
        <v>77</v>
      </c>
      <c r="G18" t="s">
        <v>77</v>
      </c>
      <c r="H18">
        <v>19.8</v>
      </c>
      <c r="I18">
        <v>18.2</v>
      </c>
      <c r="J18">
        <f t="shared" ca="1" si="0"/>
        <v>19.058204390249443</v>
      </c>
      <c r="K18" t="b">
        <f t="shared" si="1"/>
        <v>1</v>
      </c>
      <c r="L18" t="s">
        <v>78</v>
      </c>
    </row>
    <row r="19" spans="1:12" x14ac:dyDescent="0.2">
      <c r="A19" t="s">
        <v>19</v>
      </c>
      <c r="B19" t="s">
        <v>102</v>
      </c>
      <c r="D19" t="s">
        <v>60</v>
      </c>
      <c r="E19" t="s">
        <v>61</v>
      </c>
      <c r="F19" t="s">
        <v>62</v>
      </c>
      <c r="G19" t="s">
        <v>62</v>
      </c>
      <c r="H19">
        <v>37.200000000000003</v>
      </c>
      <c r="I19">
        <v>35.700000000000003</v>
      </c>
      <c r="J19">
        <f t="shared" ca="1" si="0"/>
        <v>36.03011072645527</v>
      </c>
      <c r="K19" t="b">
        <f t="shared" si="1"/>
        <v>1</v>
      </c>
      <c r="L19" t="s">
        <v>104</v>
      </c>
    </row>
    <row r="20" spans="1:12" x14ac:dyDescent="0.2">
      <c r="A20" t="s">
        <v>20</v>
      </c>
      <c r="B20" t="s">
        <v>102</v>
      </c>
      <c r="D20" t="s">
        <v>60</v>
      </c>
      <c r="E20" t="s">
        <v>61</v>
      </c>
      <c r="F20" t="s">
        <v>62</v>
      </c>
      <c r="G20" t="s">
        <v>62</v>
      </c>
      <c r="H20">
        <v>37.200000000000003</v>
      </c>
      <c r="I20">
        <v>35.700000000000003</v>
      </c>
      <c r="J20">
        <f t="shared" ca="1" si="0"/>
        <v>36.947480734935901</v>
      </c>
      <c r="K20" t="b">
        <f t="shared" si="1"/>
        <v>1</v>
      </c>
      <c r="L20" t="s">
        <v>104</v>
      </c>
    </row>
    <row r="21" spans="1:12" x14ac:dyDescent="0.2">
      <c r="A21" t="s">
        <v>21</v>
      </c>
      <c r="B21" t="s">
        <v>102</v>
      </c>
      <c r="D21" t="s">
        <v>49</v>
      </c>
      <c r="E21" t="s">
        <v>50</v>
      </c>
      <c r="F21" t="s">
        <v>51</v>
      </c>
      <c r="G21" t="s">
        <v>51</v>
      </c>
      <c r="H21">
        <v>27.3</v>
      </c>
      <c r="I21">
        <v>25.2</v>
      </c>
      <c r="J21">
        <f t="shared" ca="1" si="0"/>
        <v>26.901431652868975</v>
      </c>
      <c r="K21" t="b">
        <f t="shared" si="1"/>
        <v>1</v>
      </c>
      <c r="L21" t="s">
        <v>114</v>
      </c>
    </row>
    <row r="22" spans="1:12" x14ac:dyDescent="0.2">
      <c r="A22" t="s">
        <v>22</v>
      </c>
      <c r="B22" t="s">
        <v>102</v>
      </c>
      <c r="D22" t="s">
        <v>49</v>
      </c>
      <c r="E22" t="s">
        <v>50</v>
      </c>
      <c r="F22" t="s">
        <v>115</v>
      </c>
      <c r="G22" t="s">
        <v>116</v>
      </c>
      <c r="H22">
        <v>28.1</v>
      </c>
      <c r="I22">
        <v>25.2</v>
      </c>
      <c r="J22">
        <f t="shared" ca="1" si="0"/>
        <v>25.873692698831015</v>
      </c>
      <c r="K22" t="b">
        <f t="shared" si="1"/>
        <v>1</v>
      </c>
      <c r="L22" t="s">
        <v>114</v>
      </c>
    </row>
    <row r="23" spans="1:12" x14ac:dyDescent="0.2">
      <c r="A23" t="s">
        <v>63</v>
      </c>
      <c r="B23" t="s">
        <v>102</v>
      </c>
      <c r="D23" t="s">
        <v>56</v>
      </c>
      <c r="E23" t="s">
        <v>64</v>
      </c>
      <c r="F23" t="s">
        <v>65</v>
      </c>
      <c r="G23" t="s">
        <v>65</v>
      </c>
      <c r="H23">
        <v>10.3</v>
      </c>
      <c r="I23">
        <v>9.6999999999999993</v>
      </c>
      <c r="J23">
        <f ca="1">RAND()*(H23-I23)+I23</f>
        <v>9.7418229285515441</v>
      </c>
      <c r="K23" t="b">
        <f t="shared" si="1"/>
        <v>1</v>
      </c>
      <c r="L23" t="s">
        <v>105</v>
      </c>
    </row>
    <row r="24" spans="1:12" x14ac:dyDescent="0.2">
      <c r="A24" t="s">
        <v>23</v>
      </c>
      <c r="B24" t="s">
        <v>102</v>
      </c>
      <c r="C24" t="s">
        <v>103</v>
      </c>
      <c r="D24" t="s">
        <v>47</v>
      </c>
      <c r="E24" t="s">
        <v>55</v>
      </c>
      <c r="H24">
        <v>41.5</v>
      </c>
      <c r="I24">
        <v>41</v>
      </c>
      <c r="J24">
        <f t="shared" ca="1" si="0"/>
        <v>41.312767453317392</v>
      </c>
      <c r="K24" t="b">
        <f t="shared" si="1"/>
        <v>0</v>
      </c>
      <c r="L24" t="s">
        <v>110</v>
      </c>
    </row>
    <row r="25" spans="1:12" x14ac:dyDescent="0.2">
      <c r="A25" t="s">
        <v>23</v>
      </c>
      <c r="B25" t="s">
        <v>102</v>
      </c>
      <c r="D25" t="s">
        <v>47</v>
      </c>
      <c r="E25" t="s">
        <v>53</v>
      </c>
      <c r="H25">
        <v>39.5</v>
      </c>
      <c r="I25">
        <v>34</v>
      </c>
      <c r="J25">
        <f t="shared" ca="1" si="0"/>
        <v>34.239097810600285</v>
      </c>
      <c r="K25" t="b">
        <f>H25-I25&gt;0.5</f>
        <v>1</v>
      </c>
      <c r="L25" t="s">
        <v>110</v>
      </c>
    </row>
    <row r="26" spans="1:12" x14ac:dyDescent="0.2">
      <c r="A26" t="s">
        <v>24</v>
      </c>
      <c r="B26" t="s">
        <v>102</v>
      </c>
      <c r="D26" t="s">
        <v>49</v>
      </c>
      <c r="F26" t="s">
        <v>90</v>
      </c>
      <c r="G26" t="s">
        <v>119</v>
      </c>
      <c r="H26">
        <v>13.8</v>
      </c>
      <c r="I26">
        <v>1.8</v>
      </c>
      <c r="J26">
        <f t="shared" ca="1" si="0"/>
        <v>12.858784205321616</v>
      </c>
      <c r="K26" t="b">
        <f t="shared" si="1"/>
        <v>1</v>
      </c>
      <c r="L26" t="s">
        <v>120</v>
      </c>
    </row>
    <row r="27" spans="1:12" x14ac:dyDescent="0.2">
      <c r="A27" t="s">
        <v>25</v>
      </c>
      <c r="B27" t="s">
        <v>102</v>
      </c>
      <c r="C27" t="s">
        <v>103</v>
      </c>
      <c r="D27" t="s">
        <v>47</v>
      </c>
      <c r="E27" t="s">
        <v>55</v>
      </c>
      <c r="H27">
        <v>41.5</v>
      </c>
      <c r="I27">
        <v>41</v>
      </c>
      <c r="J27">
        <f t="shared" ca="1" si="0"/>
        <v>41.058690666443376</v>
      </c>
      <c r="K27" t="b">
        <f t="shared" si="1"/>
        <v>0</v>
      </c>
      <c r="L27" t="s">
        <v>110</v>
      </c>
    </row>
    <row r="28" spans="1:12" x14ac:dyDescent="0.2">
      <c r="A28" t="s">
        <v>25</v>
      </c>
      <c r="B28" t="s">
        <v>102</v>
      </c>
      <c r="D28" t="s">
        <v>47</v>
      </c>
      <c r="E28" t="s">
        <v>48</v>
      </c>
      <c r="H28">
        <v>39.5</v>
      </c>
      <c r="I28">
        <v>34</v>
      </c>
      <c r="J28">
        <f t="shared" ca="1" si="0"/>
        <v>36.858802267778415</v>
      </c>
      <c r="K28" t="b">
        <f t="shared" si="1"/>
        <v>1</v>
      </c>
      <c r="L28" t="s">
        <v>110</v>
      </c>
    </row>
    <row r="29" spans="1:12" x14ac:dyDescent="0.2">
      <c r="A29" t="s">
        <v>26</v>
      </c>
      <c r="B29" t="s">
        <v>102</v>
      </c>
      <c r="D29" t="s">
        <v>49</v>
      </c>
      <c r="E29" t="s">
        <v>66</v>
      </c>
      <c r="F29" t="s">
        <v>67</v>
      </c>
      <c r="G29" t="s">
        <v>67</v>
      </c>
      <c r="H29">
        <v>36</v>
      </c>
      <c r="I29">
        <v>34.299999999999997</v>
      </c>
      <c r="J29">
        <f t="shared" ca="1" si="0"/>
        <v>35.342649739446721</v>
      </c>
      <c r="K29" t="b">
        <f t="shared" si="1"/>
        <v>1</v>
      </c>
      <c r="L29" t="s">
        <v>117</v>
      </c>
    </row>
    <row r="30" spans="1:12" x14ac:dyDescent="0.2">
      <c r="A30" t="s">
        <v>26</v>
      </c>
      <c r="B30" t="s">
        <v>102</v>
      </c>
      <c r="D30" t="s">
        <v>49</v>
      </c>
      <c r="E30" t="s">
        <v>68</v>
      </c>
      <c r="F30" t="s">
        <v>67</v>
      </c>
      <c r="G30" t="s">
        <v>67</v>
      </c>
      <c r="H30">
        <v>36</v>
      </c>
      <c r="I30">
        <v>34.299999999999997</v>
      </c>
      <c r="J30">
        <f t="shared" ca="1" si="0"/>
        <v>35.839697684419981</v>
      </c>
      <c r="K30" t="b">
        <f t="shared" si="1"/>
        <v>1</v>
      </c>
      <c r="L30" t="s">
        <v>117</v>
      </c>
    </row>
    <row r="31" spans="1:12" x14ac:dyDescent="0.2">
      <c r="A31" t="s">
        <v>27</v>
      </c>
      <c r="B31" t="s">
        <v>102</v>
      </c>
      <c r="C31" t="s">
        <v>103</v>
      </c>
      <c r="D31" t="s">
        <v>49</v>
      </c>
      <c r="E31" t="s">
        <v>69</v>
      </c>
      <c r="F31" t="s">
        <v>70</v>
      </c>
      <c r="G31" t="s">
        <v>70</v>
      </c>
      <c r="H31">
        <v>37.200000000000003</v>
      </c>
      <c r="I31">
        <v>36</v>
      </c>
      <c r="J31">
        <f t="shared" ca="1" si="0"/>
        <v>36.473352301239828</v>
      </c>
      <c r="K31" t="b">
        <f t="shared" si="1"/>
        <v>1</v>
      </c>
      <c r="L31" t="s">
        <v>117</v>
      </c>
    </row>
    <row r="32" spans="1:12" x14ac:dyDescent="0.2">
      <c r="A32" t="s">
        <v>27</v>
      </c>
      <c r="B32" t="s">
        <v>102</v>
      </c>
      <c r="D32" t="s">
        <v>49</v>
      </c>
      <c r="E32" t="s">
        <v>66</v>
      </c>
      <c r="F32" t="s">
        <v>71</v>
      </c>
      <c r="G32" t="s">
        <v>71</v>
      </c>
      <c r="H32">
        <v>34.299999999999997</v>
      </c>
      <c r="I32">
        <v>27.3</v>
      </c>
      <c r="J32">
        <f t="shared" ca="1" si="0"/>
        <v>33.659596813988969</v>
      </c>
      <c r="K32" t="b">
        <f t="shared" si="1"/>
        <v>1</v>
      </c>
      <c r="L32" t="s">
        <v>114</v>
      </c>
    </row>
    <row r="33" spans="1:12" x14ac:dyDescent="0.2">
      <c r="A33" t="s">
        <v>27</v>
      </c>
      <c r="B33" t="s">
        <v>102</v>
      </c>
      <c r="C33" t="s">
        <v>103</v>
      </c>
      <c r="D33" t="s">
        <v>49</v>
      </c>
      <c r="E33" t="s">
        <v>72</v>
      </c>
      <c r="F33" t="s">
        <v>73</v>
      </c>
      <c r="G33" t="s">
        <v>73</v>
      </c>
      <c r="H33">
        <v>25.2</v>
      </c>
      <c r="I33">
        <v>21.7</v>
      </c>
      <c r="J33">
        <f t="shared" ca="1" si="0"/>
        <v>25.054068796096171</v>
      </c>
      <c r="K33" t="b">
        <f t="shared" si="1"/>
        <v>1</v>
      </c>
      <c r="L33" t="s">
        <v>118</v>
      </c>
    </row>
    <row r="34" spans="1:12" x14ac:dyDescent="0.2">
      <c r="A34" t="s">
        <v>28</v>
      </c>
      <c r="B34" t="s">
        <v>102</v>
      </c>
      <c r="D34" t="s">
        <v>47</v>
      </c>
      <c r="E34" t="s">
        <v>74</v>
      </c>
      <c r="H34">
        <v>44</v>
      </c>
      <c r="I34">
        <v>41.5</v>
      </c>
      <c r="J34">
        <f t="shared" ca="1" si="0"/>
        <v>43.119499102387095</v>
      </c>
      <c r="K34" t="b">
        <f t="shared" si="1"/>
        <v>1</v>
      </c>
      <c r="L34" t="s">
        <v>110</v>
      </c>
    </row>
    <row r="35" spans="1:12" x14ac:dyDescent="0.2">
      <c r="A35" t="s">
        <v>28</v>
      </c>
      <c r="B35" t="s">
        <v>102</v>
      </c>
      <c r="D35" t="s">
        <v>47</v>
      </c>
      <c r="E35" t="s">
        <v>55</v>
      </c>
      <c r="H35">
        <v>41.5</v>
      </c>
      <c r="I35">
        <v>41</v>
      </c>
      <c r="J35">
        <f t="shared" ca="1" si="0"/>
        <v>41.388693113716535</v>
      </c>
      <c r="K35" t="b">
        <f t="shared" si="1"/>
        <v>0</v>
      </c>
      <c r="L35" t="s">
        <v>110</v>
      </c>
    </row>
    <row r="36" spans="1:12" x14ac:dyDescent="0.2">
      <c r="A36" t="s">
        <v>28</v>
      </c>
      <c r="B36" t="s">
        <v>102</v>
      </c>
      <c r="D36" t="s">
        <v>47</v>
      </c>
      <c r="E36" t="s">
        <v>54</v>
      </c>
      <c r="H36">
        <v>41</v>
      </c>
      <c r="I36">
        <v>39.5</v>
      </c>
      <c r="J36">
        <f t="shared" ca="1" si="0"/>
        <v>40.509948944063318</v>
      </c>
      <c r="K36" t="b">
        <f t="shared" si="1"/>
        <v>1</v>
      </c>
      <c r="L36" t="s">
        <v>110</v>
      </c>
    </row>
    <row r="37" spans="1:12" x14ac:dyDescent="0.2">
      <c r="A37" t="s">
        <v>28</v>
      </c>
      <c r="B37" t="s">
        <v>102</v>
      </c>
      <c r="D37" t="s">
        <v>47</v>
      </c>
      <c r="E37" t="s">
        <v>53</v>
      </c>
      <c r="H37">
        <v>39.5</v>
      </c>
      <c r="I37">
        <v>34</v>
      </c>
      <c r="J37">
        <f t="shared" ca="1" si="0"/>
        <v>38.19707482263685</v>
      </c>
      <c r="K37" t="b">
        <f t="shared" si="1"/>
        <v>1</v>
      </c>
      <c r="L37" t="s">
        <v>110</v>
      </c>
    </row>
    <row r="38" spans="1:12" x14ac:dyDescent="0.2">
      <c r="A38" t="s">
        <v>28</v>
      </c>
      <c r="B38" t="s">
        <v>102</v>
      </c>
      <c r="D38" t="s">
        <v>56</v>
      </c>
      <c r="E38" t="s">
        <v>75</v>
      </c>
      <c r="F38" t="s">
        <v>76</v>
      </c>
      <c r="G38" t="s">
        <v>76</v>
      </c>
      <c r="H38">
        <v>41.3</v>
      </c>
      <c r="I38">
        <v>38</v>
      </c>
      <c r="J38">
        <f ca="1">RAND()*(H38-I38)+I38</f>
        <v>41.290554020112921</v>
      </c>
      <c r="K38" t="b">
        <f t="shared" si="1"/>
        <v>1</v>
      </c>
      <c r="L38" t="s">
        <v>121</v>
      </c>
    </row>
    <row r="39" spans="1:12" x14ac:dyDescent="0.2">
      <c r="A39" t="s">
        <v>29</v>
      </c>
      <c r="B39" t="s">
        <v>102</v>
      </c>
      <c r="D39" t="s">
        <v>47</v>
      </c>
      <c r="E39" t="s">
        <v>55</v>
      </c>
      <c r="H39">
        <v>41.5</v>
      </c>
      <c r="I39">
        <v>41</v>
      </c>
      <c r="J39">
        <f t="shared" ca="1" si="0"/>
        <v>41.302781359115215</v>
      </c>
      <c r="K39" t="b">
        <f t="shared" si="1"/>
        <v>0</v>
      </c>
      <c r="L39" t="s">
        <v>110</v>
      </c>
    </row>
    <row r="40" spans="1:12" x14ac:dyDescent="0.2">
      <c r="A40" t="s">
        <v>29</v>
      </c>
      <c r="B40" t="s">
        <v>102</v>
      </c>
      <c r="D40" t="s">
        <v>47</v>
      </c>
      <c r="E40" t="s">
        <v>53</v>
      </c>
      <c r="H40">
        <v>39.5</v>
      </c>
      <c r="I40">
        <v>34</v>
      </c>
      <c r="J40">
        <f t="shared" ca="1" si="0"/>
        <v>37.439624474531449</v>
      </c>
      <c r="K40" t="b">
        <f t="shared" si="1"/>
        <v>1</v>
      </c>
      <c r="L40" t="s">
        <v>110</v>
      </c>
    </row>
    <row r="41" spans="1:12" x14ac:dyDescent="0.2">
      <c r="A41" t="s">
        <v>106</v>
      </c>
      <c r="B41" t="s">
        <v>102</v>
      </c>
      <c r="D41" t="s">
        <v>56</v>
      </c>
      <c r="E41" t="s">
        <v>57</v>
      </c>
      <c r="F41" t="s">
        <v>77</v>
      </c>
      <c r="G41" t="s">
        <v>77</v>
      </c>
      <c r="H41">
        <v>19.8</v>
      </c>
      <c r="I41">
        <v>18.2</v>
      </c>
      <c r="J41">
        <f t="shared" ca="1" si="0"/>
        <v>19.762897212601199</v>
      </c>
      <c r="K41" t="b">
        <f t="shared" si="1"/>
        <v>1</v>
      </c>
      <c r="L41" t="s">
        <v>78</v>
      </c>
    </row>
    <row r="42" spans="1:12" x14ac:dyDescent="0.2">
      <c r="A42" t="s">
        <v>106</v>
      </c>
      <c r="B42" t="s">
        <v>102</v>
      </c>
      <c r="D42" t="s">
        <v>56</v>
      </c>
      <c r="E42" t="s">
        <v>107</v>
      </c>
      <c r="F42" t="s">
        <v>59</v>
      </c>
      <c r="G42" t="s">
        <v>77</v>
      </c>
      <c r="H42">
        <v>24.1</v>
      </c>
      <c r="I42">
        <v>18.2</v>
      </c>
      <c r="J42">
        <f t="shared" ca="1" si="0"/>
        <v>19.717205619151265</v>
      </c>
      <c r="K42" t="b">
        <f>H42-I42&gt;0.5</f>
        <v>1</v>
      </c>
      <c r="L42" t="s">
        <v>122</v>
      </c>
    </row>
    <row r="43" spans="1:12" x14ac:dyDescent="0.2">
      <c r="A43" t="s">
        <v>106</v>
      </c>
      <c r="B43" t="s">
        <v>102</v>
      </c>
      <c r="D43" t="s">
        <v>56</v>
      </c>
      <c r="E43" t="s">
        <v>58</v>
      </c>
      <c r="F43" t="s">
        <v>108</v>
      </c>
      <c r="G43" t="s">
        <v>108</v>
      </c>
      <c r="H43">
        <v>23.03</v>
      </c>
      <c r="I43">
        <v>15.97</v>
      </c>
      <c r="J43">
        <f t="shared" ca="1" si="0"/>
        <v>21.170837178491674</v>
      </c>
      <c r="K43" t="b">
        <f t="shared" si="1"/>
        <v>1</v>
      </c>
      <c r="L43" t="s">
        <v>52</v>
      </c>
    </row>
    <row r="44" spans="1:12" x14ac:dyDescent="0.2">
      <c r="A44" t="s">
        <v>106</v>
      </c>
      <c r="B44" t="s">
        <v>102</v>
      </c>
      <c r="D44" t="s">
        <v>56</v>
      </c>
      <c r="E44" t="s">
        <v>64</v>
      </c>
      <c r="F44" t="s">
        <v>109</v>
      </c>
      <c r="G44" t="s">
        <v>109</v>
      </c>
      <c r="H44">
        <v>15.97</v>
      </c>
      <c r="I44">
        <v>11.61</v>
      </c>
      <c r="J44">
        <f t="shared" ca="1" si="0"/>
        <v>11.645420157528028</v>
      </c>
      <c r="K44" t="b">
        <f t="shared" si="1"/>
        <v>1</v>
      </c>
      <c r="L44" t="s">
        <v>52</v>
      </c>
    </row>
    <row r="45" spans="1:12" x14ac:dyDescent="0.2">
      <c r="A45" t="s">
        <v>30</v>
      </c>
      <c r="B45" t="s">
        <v>102</v>
      </c>
      <c r="D45" t="s">
        <v>56</v>
      </c>
      <c r="E45" t="s">
        <v>57</v>
      </c>
      <c r="F45" t="s">
        <v>77</v>
      </c>
      <c r="G45" t="s">
        <v>77</v>
      </c>
      <c r="H45">
        <v>19.8</v>
      </c>
      <c r="I45">
        <v>18.2</v>
      </c>
      <c r="J45">
        <f t="shared" ca="1" si="0"/>
        <v>18.557651981845908</v>
      </c>
      <c r="K45" t="b">
        <f t="shared" si="1"/>
        <v>1</v>
      </c>
      <c r="L45" t="s">
        <v>78</v>
      </c>
    </row>
    <row r="46" spans="1:12" x14ac:dyDescent="0.2">
      <c r="A46" t="s">
        <v>31</v>
      </c>
      <c r="B46" t="s">
        <v>102</v>
      </c>
      <c r="D46" t="s">
        <v>56</v>
      </c>
      <c r="E46" t="s">
        <v>57</v>
      </c>
      <c r="F46" t="s">
        <v>77</v>
      </c>
      <c r="G46" t="s">
        <v>77</v>
      </c>
      <c r="H46">
        <v>19.8</v>
      </c>
      <c r="I46">
        <v>18.2</v>
      </c>
      <c r="J46">
        <f t="shared" ca="1" si="0"/>
        <v>18.567551671097796</v>
      </c>
      <c r="K46" t="b">
        <f t="shared" si="1"/>
        <v>1</v>
      </c>
      <c r="L46" t="s">
        <v>78</v>
      </c>
    </row>
    <row r="47" spans="1:12" x14ac:dyDescent="0.2">
      <c r="A47" t="s">
        <v>32</v>
      </c>
      <c r="B47" t="s">
        <v>102</v>
      </c>
      <c r="D47" t="s">
        <v>56</v>
      </c>
      <c r="E47" t="s">
        <v>57</v>
      </c>
      <c r="F47" t="s">
        <v>77</v>
      </c>
      <c r="G47" t="s">
        <v>77</v>
      </c>
      <c r="H47">
        <v>19.8</v>
      </c>
      <c r="I47">
        <v>18.2</v>
      </c>
      <c r="J47">
        <f t="shared" ca="1" si="0"/>
        <v>18.812494475588675</v>
      </c>
      <c r="K47" t="b">
        <f t="shared" si="1"/>
        <v>1</v>
      </c>
      <c r="L47" t="s">
        <v>78</v>
      </c>
    </row>
    <row r="48" spans="1:12" x14ac:dyDescent="0.2">
      <c r="A48" t="s">
        <v>32</v>
      </c>
      <c r="B48" t="s">
        <v>102</v>
      </c>
      <c r="C48" t="s">
        <v>103</v>
      </c>
      <c r="D48" t="s">
        <v>56</v>
      </c>
      <c r="E48" t="s">
        <v>79</v>
      </c>
      <c r="F48" t="s">
        <v>80</v>
      </c>
      <c r="G48" t="s">
        <v>80</v>
      </c>
      <c r="H48">
        <v>17.5</v>
      </c>
      <c r="I48">
        <v>16.3</v>
      </c>
      <c r="J48">
        <f t="shared" ca="1" si="0"/>
        <v>16.76167324142645</v>
      </c>
      <c r="K48" t="b">
        <f t="shared" si="1"/>
        <v>1</v>
      </c>
      <c r="L48" t="s">
        <v>52</v>
      </c>
    </row>
    <row r="49" spans="1:12" x14ac:dyDescent="0.2">
      <c r="A49" t="s">
        <v>33</v>
      </c>
      <c r="B49" t="s">
        <v>102</v>
      </c>
      <c r="D49" t="s">
        <v>60</v>
      </c>
      <c r="E49" t="s">
        <v>81</v>
      </c>
      <c r="F49" t="s">
        <v>82</v>
      </c>
      <c r="G49" t="s">
        <v>82</v>
      </c>
      <c r="H49">
        <v>47.8</v>
      </c>
      <c r="I49">
        <v>41.3</v>
      </c>
      <c r="J49">
        <f t="shared" ca="1" si="0"/>
        <v>47.39243217776891</v>
      </c>
      <c r="K49" t="b">
        <f t="shared" si="1"/>
        <v>1</v>
      </c>
      <c r="L49" t="s">
        <v>52</v>
      </c>
    </row>
    <row r="50" spans="1:12" x14ac:dyDescent="0.2">
      <c r="A50" t="s">
        <v>34</v>
      </c>
      <c r="B50" t="s">
        <v>102</v>
      </c>
      <c r="D50" t="s">
        <v>49</v>
      </c>
      <c r="F50" t="s">
        <v>67</v>
      </c>
      <c r="G50" t="s">
        <v>67</v>
      </c>
      <c r="H50">
        <v>36</v>
      </c>
      <c r="I50">
        <v>34.299999999999997</v>
      </c>
      <c r="J50">
        <f t="shared" ca="1" si="0"/>
        <v>35.298102852261849</v>
      </c>
      <c r="K50" t="b">
        <f t="shared" si="1"/>
        <v>1</v>
      </c>
      <c r="L50" t="s">
        <v>117</v>
      </c>
    </row>
    <row r="51" spans="1:12" x14ac:dyDescent="0.2">
      <c r="A51" t="s">
        <v>34</v>
      </c>
      <c r="B51" t="s">
        <v>102</v>
      </c>
      <c r="D51" t="s">
        <v>49</v>
      </c>
      <c r="E51" t="s">
        <v>50</v>
      </c>
      <c r="F51" t="s">
        <v>51</v>
      </c>
      <c r="G51" t="s">
        <v>51</v>
      </c>
      <c r="H51">
        <v>27.3</v>
      </c>
      <c r="I51">
        <v>25.2</v>
      </c>
      <c r="J51">
        <f t="shared" ca="1" si="0"/>
        <v>26.367802901960797</v>
      </c>
      <c r="K51" t="b">
        <f t="shared" si="1"/>
        <v>1</v>
      </c>
      <c r="L51" t="s">
        <v>114</v>
      </c>
    </row>
    <row r="52" spans="1:12" x14ac:dyDescent="0.2">
      <c r="A52" t="s">
        <v>35</v>
      </c>
      <c r="B52" t="s">
        <v>102</v>
      </c>
      <c r="D52" t="s">
        <v>49</v>
      </c>
      <c r="E52" t="s">
        <v>50</v>
      </c>
      <c r="F52" t="s">
        <v>51</v>
      </c>
      <c r="G52" t="s">
        <v>51</v>
      </c>
      <c r="H52">
        <v>27.3</v>
      </c>
      <c r="I52">
        <v>25.2</v>
      </c>
      <c r="J52">
        <f t="shared" ca="1" si="0"/>
        <v>25.762255618754363</v>
      </c>
      <c r="K52" t="b">
        <f t="shared" si="1"/>
        <v>1</v>
      </c>
      <c r="L52" t="s">
        <v>114</v>
      </c>
    </row>
    <row r="53" spans="1:12" x14ac:dyDescent="0.2">
      <c r="A53" t="s">
        <v>36</v>
      </c>
      <c r="B53" t="s">
        <v>102</v>
      </c>
      <c r="D53" t="s">
        <v>83</v>
      </c>
      <c r="E53" t="s">
        <v>84</v>
      </c>
      <c r="F53" t="s">
        <v>85</v>
      </c>
      <c r="G53" t="s">
        <v>85</v>
      </c>
      <c r="H53">
        <v>4.5</v>
      </c>
      <c r="I53">
        <v>2.6</v>
      </c>
      <c r="J53">
        <f t="shared" ca="1" si="0"/>
        <v>4.13036850017067</v>
      </c>
      <c r="K53" t="b">
        <f t="shared" si="1"/>
        <v>1</v>
      </c>
      <c r="L53" t="s">
        <v>123</v>
      </c>
    </row>
    <row r="54" spans="1:12" x14ac:dyDescent="0.2">
      <c r="A54" t="s">
        <v>36</v>
      </c>
      <c r="B54" t="s">
        <v>102</v>
      </c>
      <c r="D54" t="s">
        <v>83</v>
      </c>
      <c r="E54" t="s">
        <v>88</v>
      </c>
      <c r="H54">
        <v>8.6</v>
      </c>
      <c r="I54">
        <v>4.5</v>
      </c>
      <c r="J54">
        <f t="shared" ca="1" si="0"/>
        <v>5.6098358007836122</v>
      </c>
      <c r="K54" t="b">
        <f t="shared" si="1"/>
        <v>1</v>
      </c>
      <c r="L54" t="s">
        <v>124</v>
      </c>
    </row>
    <row r="55" spans="1:12" x14ac:dyDescent="0.2">
      <c r="A55" t="s">
        <v>37</v>
      </c>
      <c r="B55" t="s">
        <v>102</v>
      </c>
      <c r="D55" t="s">
        <v>60</v>
      </c>
      <c r="E55" t="s">
        <v>86</v>
      </c>
      <c r="F55" t="s">
        <v>87</v>
      </c>
      <c r="G55" t="s">
        <v>87</v>
      </c>
      <c r="H55">
        <v>7.2</v>
      </c>
      <c r="I55">
        <v>5.3</v>
      </c>
      <c r="J55">
        <f t="shared" ca="1" si="0"/>
        <v>6.3347478942081992</v>
      </c>
      <c r="K55" t="b">
        <f t="shared" si="1"/>
        <v>1</v>
      </c>
      <c r="L55" t="s">
        <v>52</v>
      </c>
    </row>
    <row r="56" spans="1:12" x14ac:dyDescent="0.2">
      <c r="A56" t="s">
        <v>37</v>
      </c>
      <c r="B56" t="s">
        <v>102</v>
      </c>
      <c r="D56" t="s">
        <v>83</v>
      </c>
      <c r="E56" t="s">
        <v>88</v>
      </c>
      <c r="F56" t="s">
        <v>89</v>
      </c>
      <c r="G56" t="s">
        <v>89</v>
      </c>
      <c r="H56">
        <v>11.6</v>
      </c>
      <c r="I56">
        <v>5.3</v>
      </c>
      <c r="J56">
        <f t="shared" ca="1" si="0"/>
        <v>5.3597133333782416</v>
      </c>
      <c r="K56" t="b">
        <f t="shared" si="1"/>
        <v>1</v>
      </c>
      <c r="L56" t="s">
        <v>52</v>
      </c>
    </row>
    <row r="57" spans="1:12" x14ac:dyDescent="0.2">
      <c r="A57" t="s">
        <v>38</v>
      </c>
      <c r="B57" t="s">
        <v>102</v>
      </c>
      <c r="D57" t="s">
        <v>60</v>
      </c>
      <c r="E57" t="s">
        <v>86</v>
      </c>
      <c r="F57" t="s">
        <v>65</v>
      </c>
      <c r="G57" t="s">
        <v>65</v>
      </c>
      <c r="H57">
        <v>9.1999999999999993</v>
      </c>
      <c r="I57">
        <v>9</v>
      </c>
      <c r="J57">
        <f ca="1">RAND()*(H57-I57)+I57</f>
        <v>9.0072837620899264</v>
      </c>
      <c r="K57" t="b">
        <f>H57-I57&gt;0.5</f>
        <v>0</v>
      </c>
      <c r="L57" t="s">
        <v>125</v>
      </c>
    </row>
    <row r="58" spans="1:12" x14ac:dyDescent="0.2">
      <c r="A58" t="s">
        <v>38</v>
      </c>
      <c r="B58" t="s">
        <v>102</v>
      </c>
      <c r="D58" t="s">
        <v>83</v>
      </c>
      <c r="E58" t="s">
        <v>88</v>
      </c>
      <c r="F58" t="s">
        <v>89</v>
      </c>
      <c r="G58" t="s">
        <v>89</v>
      </c>
      <c r="H58">
        <v>11.6</v>
      </c>
      <c r="I58">
        <v>3.6</v>
      </c>
      <c r="J58">
        <f ca="1">RAND()*(H58-I58)+I58</f>
        <v>6.3846537620634898</v>
      </c>
      <c r="K58" t="b">
        <f t="shared" si="1"/>
        <v>1</v>
      </c>
      <c r="L58" t="s">
        <v>52</v>
      </c>
    </row>
    <row r="59" spans="1:12" x14ac:dyDescent="0.2">
      <c r="A59" t="s">
        <v>39</v>
      </c>
      <c r="B59" t="s">
        <v>102</v>
      </c>
      <c r="D59" t="s">
        <v>60</v>
      </c>
      <c r="E59" t="s">
        <v>86</v>
      </c>
      <c r="F59" t="s">
        <v>65</v>
      </c>
      <c r="G59" t="s">
        <v>65</v>
      </c>
      <c r="H59">
        <v>10</v>
      </c>
      <c r="I59">
        <v>9</v>
      </c>
      <c r="J59">
        <f t="shared" ca="1" si="0"/>
        <v>9.0728783327761953</v>
      </c>
      <c r="K59" t="b">
        <f t="shared" si="1"/>
        <v>1</v>
      </c>
      <c r="L59" t="s">
        <v>125</v>
      </c>
    </row>
    <row r="60" spans="1:12" x14ac:dyDescent="0.2">
      <c r="A60" t="s">
        <v>39</v>
      </c>
      <c r="B60" t="s">
        <v>102</v>
      </c>
      <c r="D60" t="s">
        <v>83</v>
      </c>
      <c r="E60" t="s">
        <v>88</v>
      </c>
      <c r="F60" t="s">
        <v>89</v>
      </c>
      <c r="G60" t="s">
        <v>89</v>
      </c>
      <c r="H60">
        <v>11.6</v>
      </c>
      <c r="I60">
        <v>5.3</v>
      </c>
      <c r="J60">
        <f t="shared" ca="1" si="0"/>
        <v>8.6431377292700322</v>
      </c>
      <c r="K60" t="b">
        <f t="shared" si="1"/>
        <v>1</v>
      </c>
      <c r="L60" t="s">
        <v>52</v>
      </c>
    </row>
    <row r="61" spans="1:12" x14ac:dyDescent="0.2">
      <c r="A61" t="s">
        <v>40</v>
      </c>
      <c r="B61" t="s">
        <v>102</v>
      </c>
      <c r="D61" t="s">
        <v>49</v>
      </c>
      <c r="E61" t="s">
        <v>91</v>
      </c>
      <c r="F61" t="s">
        <v>92</v>
      </c>
      <c r="G61" t="s">
        <v>92</v>
      </c>
      <c r="H61">
        <v>61.6</v>
      </c>
      <c r="I61">
        <v>60.5</v>
      </c>
      <c r="J61">
        <f t="shared" ca="1" si="0"/>
        <v>61.237798654631995</v>
      </c>
      <c r="K61" t="b">
        <f t="shared" si="1"/>
        <v>1</v>
      </c>
      <c r="L61" t="s">
        <v>93</v>
      </c>
    </row>
    <row r="62" spans="1:12" s="2" customFormat="1" x14ac:dyDescent="0.2">
      <c r="A62" s="2" t="s">
        <v>41</v>
      </c>
      <c r="B62" s="2" t="s">
        <v>102</v>
      </c>
      <c r="D62" s="2" t="s">
        <v>49</v>
      </c>
      <c r="E62" s="2" t="s">
        <v>91</v>
      </c>
      <c r="F62" s="2" t="s">
        <v>95</v>
      </c>
      <c r="G62" s="2" t="s">
        <v>95</v>
      </c>
      <c r="H62" s="2">
        <v>66</v>
      </c>
      <c r="I62" s="2">
        <v>61.7</v>
      </c>
      <c r="J62">
        <f t="shared" ca="1" si="0"/>
        <v>64.532462064919301</v>
      </c>
      <c r="K62" s="2" t="b">
        <f t="shared" si="1"/>
        <v>1</v>
      </c>
      <c r="L62" s="2" t="s">
        <v>94</v>
      </c>
    </row>
    <row r="63" spans="1:12" x14ac:dyDescent="0.2">
      <c r="A63" t="s">
        <v>41</v>
      </c>
      <c r="B63" t="s">
        <v>102</v>
      </c>
      <c r="D63" t="s">
        <v>49</v>
      </c>
      <c r="E63" t="s">
        <v>91</v>
      </c>
      <c r="F63" t="s">
        <v>92</v>
      </c>
      <c r="G63" t="s">
        <v>92</v>
      </c>
      <c r="H63">
        <v>60.5</v>
      </c>
      <c r="I63">
        <v>58</v>
      </c>
      <c r="J63">
        <f t="shared" ca="1" si="0"/>
        <v>59.68589187493469</v>
      </c>
      <c r="K63" t="b">
        <f t="shared" si="1"/>
        <v>1</v>
      </c>
      <c r="L63" t="s">
        <v>93</v>
      </c>
    </row>
    <row r="64" spans="1:12" x14ac:dyDescent="0.2">
      <c r="A64" t="s">
        <v>41</v>
      </c>
      <c r="B64" t="s">
        <v>102</v>
      </c>
      <c r="D64" t="s">
        <v>49</v>
      </c>
      <c r="E64" t="s">
        <v>91</v>
      </c>
      <c r="F64" t="s">
        <v>96</v>
      </c>
      <c r="G64" t="s">
        <v>96</v>
      </c>
      <c r="H64">
        <v>58.7</v>
      </c>
      <c r="I64">
        <v>55.8</v>
      </c>
      <c r="J64">
        <f t="shared" ca="1" si="0"/>
        <v>57.78512947815242</v>
      </c>
      <c r="K64" t="b">
        <f t="shared" si="1"/>
        <v>1</v>
      </c>
      <c r="L64" t="s">
        <v>52</v>
      </c>
    </row>
    <row r="65" spans="1:12" x14ac:dyDescent="0.2">
      <c r="A65" t="s">
        <v>42</v>
      </c>
      <c r="B65" t="s">
        <v>103</v>
      </c>
      <c r="D65" t="s">
        <v>49</v>
      </c>
      <c r="E65" t="s">
        <v>97</v>
      </c>
      <c r="F65" t="s">
        <v>98</v>
      </c>
      <c r="G65" t="s">
        <v>98</v>
      </c>
      <c r="H65">
        <v>0.126</v>
      </c>
      <c r="I65">
        <v>1.17E-2</v>
      </c>
      <c r="J65">
        <f t="shared" ca="1" si="0"/>
        <v>0.11878062590737636</v>
      </c>
      <c r="K65" t="b">
        <f t="shared" si="1"/>
        <v>0</v>
      </c>
      <c r="L65" t="s">
        <v>52</v>
      </c>
    </row>
    <row r="66" spans="1:12" x14ac:dyDescent="0.2">
      <c r="A66" t="s">
        <v>43</v>
      </c>
      <c r="B66" t="s">
        <v>103</v>
      </c>
      <c r="D66" t="s">
        <v>60</v>
      </c>
      <c r="E66" t="s">
        <v>86</v>
      </c>
      <c r="F66" t="s">
        <v>87</v>
      </c>
      <c r="G66" t="s">
        <v>87</v>
      </c>
      <c r="H66">
        <v>7.2</v>
      </c>
      <c r="I66">
        <v>5.3</v>
      </c>
      <c r="J66">
        <f t="shared" ca="1" si="0"/>
        <v>5.3297755097343913</v>
      </c>
      <c r="K66" t="b">
        <f t="shared" si="1"/>
        <v>1</v>
      </c>
      <c r="L66" t="s">
        <v>78</v>
      </c>
    </row>
    <row r="67" spans="1:12" x14ac:dyDescent="0.2">
      <c r="A67" t="s">
        <v>44</v>
      </c>
      <c r="B67" t="s">
        <v>103</v>
      </c>
      <c r="D67" t="s">
        <v>99</v>
      </c>
      <c r="F67" t="s">
        <v>100</v>
      </c>
      <c r="G67" t="s">
        <v>100</v>
      </c>
      <c r="H67">
        <v>0.78100000000000003</v>
      </c>
      <c r="I67">
        <v>0.126</v>
      </c>
      <c r="J67">
        <f t="shared" ref="J67:J70" ca="1" si="2">RAND()*(H67-I67)+I67</f>
        <v>0.75207093437861627</v>
      </c>
      <c r="K67" t="b">
        <f t="shared" ref="K67:K70" si="3">H67-I67&gt;0.5</f>
        <v>1</v>
      </c>
      <c r="L67" t="s">
        <v>52</v>
      </c>
    </row>
    <row r="68" spans="1:12" x14ac:dyDescent="0.2">
      <c r="A68" t="s">
        <v>44</v>
      </c>
      <c r="B68" t="s">
        <v>103</v>
      </c>
      <c r="D68" t="s">
        <v>99</v>
      </c>
      <c r="F68" t="s">
        <v>98</v>
      </c>
      <c r="G68" t="s">
        <v>98</v>
      </c>
      <c r="H68">
        <v>0.126</v>
      </c>
      <c r="I68">
        <v>1.17E-2</v>
      </c>
      <c r="J68">
        <f t="shared" ca="1" si="2"/>
        <v>0.11240849438687663</v>
      </c>
      <c r="K68" t="b">
        <f t="shared" si="3"/>
        <v>0</v>
      </c>
      <c r="L68" t="s">
        <v>52</v>
      </c>
    </row>
    <row r="69" spans="1:12" x14ac:dyDescent="0.2">
      <c r="A69" t="s">
        <v>45</v>
      </c>
      <c r="B69" t="s">
        <v>103</v>
      </c>
      <c r="D69" t="s">
        <v>49</v>
      </c>
      <c r="E69" t="s">
        <v>97</v>
      </c>
      <c r="F69" t="s">
        <v>98</v>
      </c>
      <c r="G69" t="s">
        <v>98</v>
      </c>
      <c r="H69">
        <v>0.126</v>
      </c>
      <c r="I69">
        <v>1.17E-2</v>
      </c>
      <c r="J69">
        <f ca="1">RAND()*(H69-I69)+I69</f>
        <v>0.11284176672523243</v>
      </c>
      <c r="K69" t="b">
        <f t="shared" si="3"/>
        <v>0</v>
      </c>
      <c r="L69" t="s">
        <v>52</v>
      </c>
    </row>
    <row r="70" spans="1:12" x14ac:dyDescent="0.2">
      <c r="A70" t="s">
        <v>46</v>
      </c>
      <c r="B70" t="s">
        <v>103</v>
      </c>
      <c r="D70" t="s">
        <v>49</v>
      </c>
      <c r="F70" t="s">
        <v>98</v>
      </c>
      <c r="G70" t="s">
        <v>98</v>
      </c>
      <c r="H70">
        <v>0.126</v>
      </c>
      <c r="I70">
        <v>1.17E-2</v>
      </c>
      <c r="J70">
        <f t="shared" ca="1" si="2"/>
        <v>1.9909438492845603E-2</v>
      </c>
      <c r="K70" t="b">
        <f t="shared" si="3"/>
        <v>0</v>
      </c>
      <c r="L70" t="s">
        <v>52</v>
      </c>
    </row>
  </sheetData>
  <conditionalFormatting sqref="K1:K1048576">
    <cfRule type="containsText" dxfId="0" priority="1" operator="containsText" text="TRUE">
      <formula>NOT(ISERROR(SEARCH("TRUE",K1)))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Allen</dc:creator>
  <cp:lastModifiedBy>Microsoft Office User</cp:lastModifiedBy>
  <cp:lastPrinted>2023-05-15T09:19:04Z</cp:lastPrinted>
  <dcterms:created xsi:type="dcterms:W3CDTF">2023-02-16T10:28:56Z</dcterms:created>
  <dcterms:modified xsi:type="dcterms:W3CDTF">2023-06-16T20:14:21Z</dcterms:modified>
</cp:coreProperties>
</file>